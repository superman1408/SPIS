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 Span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DNV-RP-F105 Free Span Calculation Sheet</t>
        </is>
      </c>
      <c r="B1" t="inlineStr"/>
      <c r="C1" t="inlineStr"/>
      <c r="D1" t="inlineStr"/>
      <c r="E1" t="inlineStr"/>
    </row>
    <row r="3">
      <c r="A3" t="inlineStr">
        <is>
          <t>INPUT DATA</t>
        </is>
      </c>
    </row>
    <row r="4">
      <c r="A4" t="inlineStr">
        <is>
          <t>Parameter</t>
        </is>
      </c>
      <c r="B4" t="inlineStr">
        <is>
          <t>Symbol</t>
        </is>
      </c>
      <c r="C4" t="inlineStr">
        <is>
          <t>Unit</t>
        </is>
      </c>
      <c r="D4" t="inlineStr">
        <is>
          <t>Value</t>
        </is>
      </c>
    </row>
    <row r="5">
      <c r="A5" t="inlineStr">
        <is>
          <t>Steel Outside Diameter</t>
        </is>
      </c>
      <c r="B5" t="inlineStr">
        <is>
          <t>Ds</t>
        </is>
      </c>
      <c r="C5" t="inlineStr">
        <is>
          <t>m</t>
        </is>
      </c>
      <c r="D5" t="n">
        <v>0.406</v>
      </c>
    </row>
    <row r="6">
      <c r="A6" t="inlineStr">
        <is>
          <t>Wall Thickness</t>
        </is>
      </c>
      <c r="B6" t="inlineStr">
        <is>
          <t>ts</t>
        </is>
      </c>
      <c r="C6" t="inlineStr">
        <is>
          <t>m</t>
        </is>
      </c>
      <c r="D6" t="n">
        <v>0.019</v>
      </c>
    </row>
    <row r="7">
      <c r="A7" t="inlineStr">
        <is>
          <t>Concrete Coating Thickness</t>
        </is>
      </c>
      <c r="B7" t="inlineStr">
        <is>
          <t>tc</t>
        </is>
      </c>
      <c r="C7" t="inlineStr">
        <is>
          <t>m</t>
        </is>
      </c>
      <c r="D7" t="n">
        <v>0.05</v>
      </c>
    </row>
    <row r="8">
      <c r="A8" t="inlineStr">
        <is>
          <t>Steel Density</t>
        </is>
      </c>
      <c r="B8" t="inlineStr">
        <is>
          <t>rho_s</t>
        </is>
      </c>
      <c r="C8" t="inlineStr">
        <is>
          <t>kg/m3</t>
        </is>
      </c>
      <c r="D8" t="n">
        <v>7850</v>
      </c>
    </row>
    <row r="9">
      <c r="A9" t="inlineStr">
        <is>
          <t>Concrete Density</t>
        </is>
      </c>
      <c r="B9" t="inlineStr">
        <is>
          <t>rho_c</t>
        </is>
      </c>
      <c r="C9" t="inlineStr">
        <is>
          <t>kg/m3</t>
        </is>
      </c>
      <c r="D9" t="n">
        <v>3040</v>
      </c>
    </row>
    <row r="10">
      <c r="A10" t="inlineStr">
        <is>
          <t>Water Density</t>
        </is>
      </c>
      <c r="B10" t="inlineStr">
        <is>
          <t>rho_w</t>
        </is>
      </c>
      <c r="C10" t="inlineStr">
        <is>
          <t>kg/m3</t>
        </is>
      </c>
      <c r="D10" t="n">
        <v>1025</v>
      </c>
    </row>
    <row r="11">
      <c r="A11" t="inlineStr">
        <is>
          <t>Youngs Modulus</t>
        </is>
      </c>
      <c r="B11" t="inlineStr">
        <is>
          <t>E</t>
        </is>
      </c>
      <c r="C11" t="inlineStr">
        <is>
          <t>Pa</t>
        </is>
      </c>
      <c r="D11" t="n">
        <v>210000000000</v>
      </c>
    </row>
    <row r="12">
      <c r="A12" t="inlineStr">
        <is>
          <t>SMYS</t>
        </is>
      </c>
      <c r="B12" t="inlineStr">
        <is>
          <t>SMYS</t>
        </is>
      </c>
      <c r="C12" t="inlineStr">
        <is>
          <t>Pa</t>
        </is>
      </c>
      <c r="D12" t="n">
        <v>450000000</v>
      </c>
    </row>
    <row r="13">
      <c r="A13" t="inlineStr">
        <is>
          <t>Current Velocity</t>
        </is>
      </c>
      <c r="B13" t="inlineStr">
        <is>
          <t>U</t>
        </is>
      </c>
      <c r="C13" t="inlineStr">
        <is>
          <t>m/s</t>
        </is>
      </c>
      <c r="D13" t="n">
        <v>1.2</v>
      </c>
    </row>
    <row r="14">
      <c r="A14" t="inlineStr">
        <is>
          <t>Thermal Expansion Coefficient</t>
        </is>
      </c>
      <c r="B14" t="inlineStr">
        <is>
          <t>alpha</t>
        </is>
      </c>
      <c r="C14" t="inlineStr">
        <is>
          <t>1/C</t>
        </is>
      </c>
      <c r="D14" t="n">
        <v>1.2e-05</v>
      </c>
    </row>
    <row r="15">
      <c r="A15" t="inlineStr">
        <is>
          <t>Temperature Difference</t>
        </is>
      </c>
      <c r="B15" t="inlineStr">
        <is>
          <t>dT</t>
        </is>
      </c>
      <c r="C15" t="inlineStr">
        <is>
          <t>C</t>
        </is>
      </c>
      <c r="D15" t="n">
        <v>60</v>
      </c>
    </row>
    <row r="17">
      <c r="A17" t="inlineStr">
        <is>
          <t>PIPE GEOMETRY</t>
        </is>
      </c>
    </row>
    <row r="18">
      <c r="A18" t="inlineStr">
        <is>
          <t>Inner Diameter</t>
        </is>
      </c>
      <c r="B18" t="inlineStr">
        <is>
          <t>ID</t>
        </is>
      </c>
      <c r="C18" t="inlineStr">
        <is>
          <t>m</t>
        </is>
      </c>
      <c r="D18">
        <f>D5-2*D6</f>
        <v/>
      </c>
    </row>
    <row r="19">
      <c r="A19" t="inlineStr">
        <is>
          <t>Total Diameter with Coating</t>
        </is>
      </c>
      <c r="B19" t="inlineStr">
        <is>
          <t>D</t>
        </is>
      </c>
      <c r="C19" t="inlineStr">
        <is>
          <t>m</t>
        </is>
      </c>
      <c r="D19">
        <f>D5+2*D7</f>
        <v/>
      </c>
    </row>
    <row r="21">
      <c r="A21" t="inlineStr">
        <is>
          <t>SECTION AREAS</t>
        </is>
      </c>
    </row>
    <row r="22">
      <c r="A22" t="inlineStr">
        <is>
          <t>Steel Area</t>
        </is>
      </c>
      <c r="B22" t="inlineStr">
        <is>
          <t>As</t>
        </is>
      </c>
      <c r="C22" t="inlineStr">
        <is>
          <t>m2</t>
        </is>
      </c>
      <c r="D22">
        <f>PI()/4*(D5^2-D18^2)</f>
        <v/>
      </c>
    </row>
    <row r="23">
      <c r="A23" t="inlineStr">
        <is>
          <t>Concrete Area</t>
        </is>
      </c>
      <c r="B23" t="inlineStr">
        <is>
          <t>Ac</t>
        </is>
      </c>
      <c r="C23" t="inlineStr">
        <is>
          <t>m2</t>
        </is>
      </c>
      <c r="D23">
        <f>PI()/4*(D19^2-D5^2)</f>
        <v/>
      </c>
    </row>
    <row r="25">
      <c r="A25" t="inlineStr">
        <is>
          <t>MASS PER UNIT LENGTH</t>
        </is>
      </c>
    </row>
    <row r="26">
      <c r="A26" t="inlineStr">
        <is>
          <t>Steel Mass</t>
        </is>
      </c>
      <c r="B26" t="inlineStr">
        <is>
          <t>ms</t>
        </is>
      </c>
      <c r="C26" t="inlineStr">
        <is>
          <t>kg/m</t>
        </is>
      </c>
      <c r="D26">
        <f>D8*D21</f>
        <v/>
      </c>
    </row>
    <row r="27">
      <c r="A27" t="inlineStr">
        <is>
          <t>Concrete Mass</t>
        </is>
      </c>
      <c r="B27" t="inlineStr">
        <is>
          <t>mc</t>
        </is>
      </c>
      <c r="C27" t="inlineStr">
        <is>
          <t>kg/m</t>
        </is>
      </c>
      <c r="D27">
        <f>D9*D22</f>
        <v/>
      </c>
    </row>
    <row r="28">
      <c r="A28" t="inlineStr">
        <is>
          <t>Total Mass</t>
        </is>
      </c>
      <c r="B28" t="inlineStr">
        <is>
          <t>m</t>
        </is>
      </c>
      <c r="C28" t="inlineStr">
        <is>
          <t>kg/m</t>
        </is>
      </c>
      <c r="D28">
        <f>D24+D25</f>
        <v/>
      </c>
    </row>
    <row r="30">
      <c r="A30" t="inlineStr">
        <is>
          <t>HYDRODYNAMIC ADDED MASS</t>
        </is>
      </c>
    </row>
    <row r="31">
      <c r="A31" t="inlineStr">
        <is>
          <t>Added Mass</t>
        </is>
      </c>
      <c r="B31" t="inlineStr">
        <is>
          <t>ma</t>
        </is>
      </c>
      <c r="C31" t="inlineStr">
        <is>
          <t>kg/m</t>
        </is>
      </c>
      <c r="D31">
        <f>D10*PI()*D19^2/4</f>
        <v/>
      </c>
    </row>
    <row r="32">
      <c r="A32" t="inlineStr">
        <is>
          <t>Effective Mass</t>
        </is>
      </c>
      <c r="B32" t="inlineStr">
        <is>
          <t>me</t>
        </is>
      </c>
      <c r="C32" t="inlineStr">
        <is>
          <t>kg/m</t>
        </is>
      </c>
      <c r="D32">
        <f>D26+D28</f>
        <v/>
      </c>
    </row>
    <row r="34">
      <c r="A34" t="inlineStr">
        <is>
          <t>MOMENT OF INERTIA</t>
        </is>
      </c>
    </row>
    <row r="35">
      <c r="A35" t="inlineStr">
        <is>
          <t>I</t>
        </is>
      </c>
      <c r="B35" t="inlineStr"/>
      <c r="C35" t="inlineStr">
        <is>
          <t>m4</t>
        </is>
      </c>
      <c r="D35">
        <f>PI()/64*(D5^4-D18^4)</f>
        <v/>
      </c>
    </row>
    <row r="37">
      <c r="A37" t="inlineStr">
        <is>
          <t>BENDING STIFFNESS</t>
        </is>
      </c>
    </row>
    <row r="38">
      <c r="A38" t="inlineStr">
        <is>
          <t>EI</t>
        </is>
      </c>
      <c r="B38" t="inlineStr"/>
      <c r="C38" t="inlineStr">
        <is>
          <t>Nm2</t>
        </is>
      </c>
      <c r="D38">
        <f>D11*D31</f>
        <v/>
      </c>
    </row>
    <row r="40">
      <c r="A40" t="inlineStr">
        <is>
          <t>SUBMERGED WEIGHT</t>
        </is>
      </c>
    </row>
    <row r="41">
      <c r="A41" t="inlineStr">
        <is>
          <t>Displaced Water Mass</t>
        </is>
      </c>
      <c r="B41" t="inlineStr"/>
      <c r="C41" t="inlineStr">
        <is>
          <t>kg/m</t>
        </is>
      </c>
      <c r="D41">
        <f>D10*PI()*D19^2/4</f>
        <v/>
      </c>
    </row>
    <row r="42">
      <c r="A42" t="inlineStr">
        <is>
          <t>Submerged Weight</t>
        </is>
      </c>
      <c r="B42" t="inlineStr">
        <is>
          <t>Ws</t>
        </is>
      </c>
      <c r="C42" t="inlineStr">
        <is>
          <t>N/m</t>
        </is>
      </c>
      <c r="D42">
        <f>(D26-D34)*9.81</f>
        <v/>
      </c>
    </row>
    <row r="44">
      <c r="A44" t="inlineStr">
        <is>
          <t>INLINE VIV SPAN</t>
        </is>
      </c>
    </row>
    <row r="45">
      <c r="A45" t="inlineStr">
        <is>
          <t>Reduced Velocity</t>
        </is>
      </c>
      <c r="B45" t="inlineStr">
        <is>
          <t>Vr</t>
        </is>
      </c>
      <c r="C45" t="inlineStr"/>
      <c r="D45" t="n">
        <v>2</v>
      </c>
    </row>
    <row r="46">
      <c r="A46" t="inlineStr">
        <is>
          <t>Natural Frequency</t>
        </is>
      </c>
      <c r="B46" t="inlineStr">
        <is>
          <t>fn</t>
        </is>
      </c>
      <c r="C46" t="inlineStr">
        <is>
          <t>Hz</t>
        </is>
      </c>
      <c r="D46">
        <f>D13/(D37*D19)</f>
        <v/>
      </c>
    </row>
    <row r="47">
      <c r="A47" t="inlineStr">
        <is>
          <t>Inline VIV Span</t>
        </is>
      </c>
      <c r="B47" t="inlineStr">
        <is>
          <t>L1</t>
        </is>
      </c>
      <c r="C47" t="inlineStr">
        <is>
          <t>m</t>
        </is>
      </c>
      <c r="D47">
        <f>(9.87*D32/(D29*(2*PI()*D38)^2))^(1/4)</f>
        <v/>
      </c>
    </row>
    <row r="49">
      <c r="A49" t="inlineStr">
        <is>
          <t>CROSSFLOW VIV SPAN</t>
        </is>
      </c>
    </row>
    <row r="50">
      <c r="A50" t="inlineStr">
        <is>
          <t>Reduced Velocity</t>
        </is>
      </c>
      <c r="B50" t="inlineStr">
        <is>
          <t>Vr</t>
        </is>
      </c>
      <c r="C50" t="inlineStr"/>
      <c r="D50" t="n">
        <v>6</v>
      </c>
    </row>
    <row r="51">
      <c r="A51" t="inlineStr">
        <is>
          <t>Natural Frequency</t>
        </is>
      </c>
      <c r="B51" t="inlineStr">
        <is>
          <t>fn</t>
        </is>
      </c>
      <c r="C51" t="inlineStr">
        <is>
          <t>Hz</t>
        </is>
      </c>
      <c r="D51">
        <f>D13/(D41*D19)</f>
        <v/>
      </c>
    </row>
    <row r="52">
      <c r="A52" t="inlineStr">
        <is>
          <t>Crossflow VIV Span</t>
        </is>
      </c>
      <c r="B52" t="inlineStr">
        <is>
          <t>L2</t>
        </is>
      </c>
      <c r="C52" t="inlineStr">
        <is>
          <t>m</t>
        </is>
      </c>
      <c r="D52">
        <f>(9.87*D32/(D29*(2*PI()*D42)^2))^(1/4)</f>
        <v/>
      </c>
    </row>
    <row r="54">
      <c r="A54" t="inlineStr">
        <is>
          <t>INLINE ULS SPAN</t>
        </is>
      </c>
    </row>
    <row r="55">
      <c r="A55" t="inlineStr">
        <is>
          <t>Allowable Stress</t>
        </is>
      </c>
      <c r="B55" t="inlineStr"/>
      <c r="C55" t="inlineStr">
        <is>
          <t>Pa</t>
        </is>
      </c>
      <c r="D55">
        <f>0.87*D12</f>
        <v/>
      </c>
    </row>
    <row r="56">
      <c r="A56" t="inlineStr">
        <is>
          <t>Inline ULS Span</t>
        </is>
      </c>
      <c r="B56" t="inlineStr">
        <is>
          <t>L3</t>
        </is>
      </c>
      <c r="C56" t="inlineStr">
        <is>
          <t>m</t>
        </is>
      </c>
      <c r="D56">
        <f>SQRT((8*D45*D31)/(D35*(D5/2)))</f>
        <v/>
      </c>
    </row>
    <row r="58">
      <c r="A58" t="inlineStr">
        <is>
          <t>CROSSFLOW ULS SPAN</t>
        </is>
      </c>
    </row>
    <row r="59">
      <c r="A59" t="inlineStr">
        <is>
          <t>Crossflow ULS Span</t>
        </is>
      </c>
      <c r="B59" t="inlineStr">
        <is>
          <t>L4</t>
        </is>
      </c>
      <c r="C59" t="inlineStr">
        <is>
          <t>m</t>
        </is>
      </c>
      <c r="D59">
        <f>0.8*D46</f>
        <v/>
      </c>
    </row>
    <row r="61">
      <c r="A61" t="inlineStr">
        <is>
          <t>BUCKLING SPAN</t>
        </is>
      </c>
    </row>
    <row r="62">
      <c r="A62" t="inlineStr">
        <is>
          <t>Axial Force</t>
        </is>
      </c>
      <c r="B62" t="inlineStr">
        <is>
          <t>P</t>
        </is>
      </c>
      <c r="C62" t="inlineStr">
        <is>
          <t>N</t>
        </is>
      </c>
      <c r="D62">
        <f>D11*D21*D14*D15</f>
        <v/>
      </c>
    </row>
    <row r="63">
      <c r="A63" t="inlineStr">
        <is>
          <t>Buckling Span</t>
        </is>
      </c>
      <c r="B63" t="inlineStr">
        <is>
          <t>L5</t>
        </is>
      </c>
      <c r="C63" t="inlineStr">
        <is>
          <t>m</t>
        </is>
      </c>
      <c r="D63">
        <f>PI()*SQRT(D32/D49)</f>
        <v/>
      </c>
    </row>
    <row r="65">
      <c r="A65" t="inlineStr">
        <is>
          <t>FINAL RESULT</t>
        </is>
      </c>
    </row>
    <row r="66">
      <c r="A66" t="inlineStr">
        <is>
          <t>Maximum Allowable Span</t>
        </is>
      </c>
      <c r="B66" t="inlineStr"/>
      <c r="C66" t="inlineStr">
        <is>
          <t>m</t>
        </is>
      </c>
      <c r="D66">
        <f>MIN(D39,D43,D46,D48,D50)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2026-03-10T07:25:13Z</dcterms:created>
  <dcterms:modified xmlns:dcterms="http://purl.org/dc/terms/" xmlns:xsi="http://www.w3.org/2001/XMLSchema-instance" xsi:type="dcterms:W3CDTF">2026-03-10T07:25:13Z</dcterms:modified>
</cp:coreProperties>
</file>